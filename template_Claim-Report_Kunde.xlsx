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tensys-my.sharepoint.com/personal/huemmkma_catensys_com/Documents/Dokumente/"/>
    </mc:Choice>
  </mc:AlternateContent>
  <xr:revisionPtr revIDLastSave="0" documentId="8_{1AA72863-BA30-46C6-9E9C-700ECCF2CEFC}" xr6:coauthVersionLast="47" xr6:coauthVersionMax="47" xr10:uidLastSave="{00000000-0000-0000-0000-000000000000}"/>
  <bookViews>
    <workbookView xWindow="-28920" yWindow="-45" windowWidth="29040" windowHeight="17520" xr2:uid="{2E143B5C-E78E-453F-B681-4FC48C9D1A8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29" i="1" l="1"/>
  <c r="AF29" i="1" s="1"/>
  <c r="AG29" i="1" s="1"/>
  <c r="Q29" i="1"/>
  <c r="B29" i="1"/>
  <c r="A29" i="1"/>
  <c r="AD28" i="1"/>
  <c r="AF28" i="1" s="1"/>
  <c r="AG28" i="1" s="1"/>
  <c r="Q28" i="1"/>
  <c r="B28" i="1"/>
  <c r="A28" i="1"/>
  <c r="AD27" i="1"/>
  <c r="AF27" i="1" s="1"/>
  <c r="AG27" i="1" s="1"/>
  <c r="Q27" i="1"/>
  <c r="B27" i="1"/>
  <c r="A27" i="1"/>
  <c r="AD26" i="1"/>
  <c r="AF26" i="1" s="1"/>
  <c r="AG26" i="1" s="1"/>
  <c r="Q26" i="1"/>
  <c r="B26" i="1"/>
  <c r="A26" i="1"/>
  <c r="AD25" i="1"/>
  <c r="AF25" i="1" s="1"/>
  <c r="AG25" i="1" s="1"/>
  <c r="Q25" i="1"/>
  <c r="B25" i="1"/>
  <c r="A25" i="1"/>
  <c r="Q24" i="1"/>
  <c r="AD24" i="1" s="1"/>
  <c r="AF24" i="1" s="1"/>
  <c r="AG24" i="1" s="1"/>
  <c r="B24" i="1"/>
  <c r="A24" i="1"/>
  <c r="AF23" i="1"/>
  <c r="AG23" i="1" s="1"/>
  <c r="AD23" i="1"/>
  <c r="Q23" i="1"/>
  <c r="B23" i="1"/>
  <c r="A23" i="1"/>
  <c r="AD22" i="1"/>
  <c r="AF22" i="1" s="1"/>
  <c r="AG22" i="1" s="1"/>
  <c r="Q22" i="1"/>
  <c r="B22" i="1"/>
  <c r="A22" i="1"/>
  <c r="Q21" i="1"/>
  <c r="AD21" i="1" s="1"/>
  <c r="AF21" i="1" s="1"/>
  <c r="AG21" i="1" s="1"/>
  <c r="B21" i="1"/>
  <c r="A21" i="1"/>
  <c r="Q20" i="1"/>
  <c r="AD20" i="1" s="1"/>
  <c r="AF20" i="1" s="1"/>
  <c r="AG20" i="1" s="1"/>
  <c r="B20" i="1"/>
  <c r="A20" i="1"/>
  <c r="AD19" i="1"/>
  <c r="AF19" i="1" s="1"/>
  <c r="AG19" i="1" s="1"/>
  <c r="Q19" i="1"/>
  <c r="B19" i="1"/>
  <c r="A19" i="1"/>
  <c r="AD18" i="1"/>
  <c r="AF18" i="1" s="1"/>
  <c r="AG18" i="1" s="1"/>
  <c r="Q18" i="1"/>
  <c r="B18" i="1"/>
  <c r="A18" i="1"/>
  <c r="Q17" i="1"/>
  <c r="AD17" i="1" s="1"/>
  <c r="AF17" i="1" s="1"/>
  <c r="AG17" i="1" s="1"/>
  <c r="B17" i="1"/>
  <c r="A17" i="1"/>
  <c r="AF16" i="1"/>
  <c r="AG16" i="1" s="1"/>
  <c r="AD16" i="1"/>
  <c r="Q16" i="1"/>
  <c r="B16" i="1"/>
  <c r="A16" i="1"/>
  <c r="AD15" i="1"/>
  <c r="AF15" i="1" s="1"/>
  <c r="AG15" i="1" s="1"/>
  <c r="Q15" i="1"/>
  <c r="B15" i="1"/>
  <c r="A15" i="1"/>
  <c r="Q14" i="1"/>
  <c r="AD14" i="1" s="1"/>
  <c r="AF14" i="1" s="1"/>
  <c r="AG14" i="1" s="1"/>
  <c r="B14" i="1"/>
  <c r="A14" i="1"/>
  <c r="Q13" i="1"/>
  <c r="AD13" i="1" s="1"/>
  <c r="AF13" i="1" s="1"/>
  <c r="AG13" i="1" s="1"/>
  <c r="B13" i="1"/>
  <c r="A13" i="1"/>
  <c r="AD12" i="1"/>
  <c r="AF12" i="1" s="1"/>
  <c r="AG12" i="1" s="1"/>
  <c r="Q12" i="1"/>
  <c r="B12" i="1"/>
  <c r="A12" i="1"/>
  <c r="AD11" i="1"/>
  <c r="AF11" i="1" s="1"/>
  <c r="AG11" i="1" s="1"/>
  <c r="Q11" i="1"/>
  <c r="B11" i="1"/>
  <c r="A11" i="1"/>
  <c r="Q10" i="1"/>
  <c r="AD10" i="1" s="1"/>
  <c r="AF10" i="1" s="1"/>
  <c r="AG10" i="1" s="1"/>
  <c r="B10" i="1"/>
  <c r="A10" i="1"/>
  <c r="AF9" i="1"/>
  <c r="AG9" i="1" s="1"/>
  <c r="AD9" i="1"/>
  <c r="Q9" i="1"/>
  <c r="B9" i="1"/>
  <c r="A9" i="1"/>
  <c r="AD8" i="1"/>
  <c r="AF8" i="1" s="1"/>
  <c r="AG8" i="1" s="1"/>
  <c r="Q8" i="1"/>
  <c r="B8" i="1"/>
  <c r="A8" i="1"/>
  <c r="Q7" i="1"/>
  <c r="AD7" i="1" s="1"/>
  <c r="AF7" i="1" s="1"/>
  <c r="AG7" i="1" s="1"/>
  <c r="B7" i="1"/>
  <c r="A7" i="1"/>
  <c r="Q6" i="1"/>
  <c r="AD6" i="1" s="1"/>
  <c r="AF6" i="1" s="1"/>
  <c r="AG6" i="1" s="1"/>
  <c r="B6" i="1"/>
  <c r="A6" i="1"/>
  <c r="AD5" i="1"/>
  <c r="AF5" i="1" s="1"/>
  <c r="AG5" i="1" s="1"/>
  <c r="Q5" i="1"/>
  <c r="B5" i="1"/>
  <c r="A5" i="1"/>
  <c r="AD4" i="1"/>
  <c r="AF4" i="1" s="1"/>
  <c r="AG4" i="1" s="1"/>
  <c r="Q4" i="1"/>
  <c r="B4" i="1"/>
  <c r="A4" i="1"/>
</calcChain>
</file>

<file path=xl/sharedStrings.xml><?xml version="1.0" encoding="utf-8"?>
<sst xmlns="http://schemas.openxmlformats.org/spreadsheetml/2006/main" count="456" uniqueCount="118">
  <si>
    <t>To be filled by Supplier</t>
  </si>
  <si>
    <t>General Info</t>
  </si>
  <si>
    <t>Volume</t>
  </si>
  <si>
    <t>Tariff</t>
  </si>
  <si>
    <t>7501 Form</t>
  </si>
  <si>
    <t>Supplier Part Details</t>
  </si>
  <si>
    <t>Tariff Impact</t>
  </si>
  <si>
    <t>VHM</t>
  </si>
  <si>
    <t>Commodity Code</t>
  </si>
  <si>
    <t>Vehicle Line</t>
  </si>
  <si>
    <t>Production/FCSD parts</t>
  </si>
  <si>
    <t>CMMS Actual Volume</t>
  </si>
  <si>
    <t>Supplier Shipment Volume</t>
  </si>
  <si>
    <t>Tariff Type (Steel/ Aluminum/ China Tariff /Non USMCA/
Others (Specify))</t>
  </si>
  <si>
    <t>Claim Start Period
(mm/dd/yyyy)</t>
  </si>
  <si>
    <t>Claim End Period
(mm/dd/yyyy)</t>
  </si>
  <si>
    <t>Exporting Country (14)</t>
  </si>
  <si>
    <t>Filer Code/ Entry No (1)</t>
  </si>
  <si>
    <t>HTS Code</t>
  </si>
  <si>
    <t>Import Date 
(11)</t>
  </si>
  <si>
    <t>Tariff %
(33)</t>
  </si>
  <si>
    <t>Supplier Invoice No</t>
  </si>
  <si>
    <t>Quantity (30)</t>
  </si>
  <si>
    <t>Unit Price</t>
  </si>
  <si>
    <t>Invoice Value</t>
  </si>
  <si>
    <t>Invoice Date</t>
  </si>
  <si>
    <t>Ford Part Prefix</t>
  </si>
  <si>
    <t>Ford
Part Base Number</t>
  </si>
  <si>
    <t>Ford Part Suffix</t>
  </si>
  <si>
    <t>Supplier Part number</t>
  </si>
  <si>
    <t>T2 part number, wherever applicable</t>
  </si>
  <si>
    <t>Raw Material</t>
  </si>
  <si>
    <t>Weight (Raw material content in Ford part)</t>
  </si>
  <si>
    <t>UoM</t>
  </si>
  <si>
    <t>AMI Linked (Yes/No)</t>
  </si>
  <si>
    <t>If Linked, Index Code</t>
  </si>
  <si>
    <t>Tariff Price Per Unit (Invoice Price x Tariff rate)</t>
  </si>
  <si>
    <t>Components Per Part</t>
    <phoneticPr fontId="0" type="noConversion"/>
  </si>
  <si>
    <t>Tariff $ per part</t>
    <phoneticPr fontId="0" type="noConversion"/>
  </si>
  <si>
    <t>Tariff Claim 
($)</t>
  </si>
  <si>
    <t>P708 ( Godzilla)</t>
  </si>
  <si>
    <t>Production</t>
  </si>
  <si>
    <t>Steel / Aluminium</t>
  </si>
  <si>
    <t>09/30/2025</t>
  </si>
  <si>
    <t>BE</t>
  </si>
  <si>
    <t>U52-1653740-2</t>
  </si>
  <si>
    <t>7315.12.0020</t>
  </si>
  <si>
    <t>07/18/25</t>
  </si>
  <si>
    <t>FCT65851</t>
  </si>
  <si>
    <t>06/23/25</t>
  </si>
  <si>
    <t>LC3E</t>
  </si>
  <si>
    <t>6A895</t>
  </si>
  <si>
    <t>JA</t>
  </si>
  <si>
    <t>092269966000010</t>
  </si>
  <si>
    <t>PC</t>
  </si>
  <si>
    <t>Yes</t>
  </si>
  <si>
    <t>Not Available</t>
  </si>
  <si>
    <t>FCT65847</t>
  </si>
  <si>
    <t>06/20/25</t>
  </si>
  <si>
    <t xml:space="preserve">6268 </t>
  </si>
  <si>
    <t>092269656000010</t>
  </si>
  <si>
    <t>U52-1653808-7</t>
  </si>
  <si>
    <t>07/23/25</t>
  </si>
  <si>
    <t>FCT65935</t>
  </si>
  <si>
    <t>06/26/25</t>
  </si>
  <si>
    <t>FCT65963</t>
  </si>
  <si>
    <t>06/30/25</t>
  </si>
  <si>
    <t>FCT66026</t>
  </si>
  <si>
    <t>U52-1653871-5</t>
  </si>
  <si>
    <t>07/29/25</t>
  </si>
  <si>
    <t>FCT66088</t>
  </si>
  <si>
    <t>FCT66103</t>
  </si>
  <si>
    <t>FR</t>
  </si>
  <si>
    <t>336-3060476-2</t>
  </si>
  <si>
    <t>7315.12.0080</t>
  </si>
  <si>
    <t>FCT65553</t>
  </si>
  <si>
    <t>05/30/25</t>
  </si>
  <si>
    <t>336-3060474-7</t>
  </si>
  <si>
    <t>7315.11.0005</t>
  </si>
  <si>
    <t>FCT65470</t>
  </si>
  <si>
    <t>05/23/25</t>
  </si>
  <si>
    <t>336-3060463-0</t>
  </si>
  <si>
    <t>FCT65050</t>
  </si>
  <si>
    <t>04/17/25</t>
  </si>
  <si>
    <t>336-3060480-4</t>
  </si>
  <si>
    <t>FCT65657</t>
  </si>
  <si>
    <t>336-3060468-9</t>
  </si>
  <si>
    <t>FCT65213</t>
  </si>
  <si>
    <t>04/30/25</t>
  </si>
  <si>
    <t>FCT65232</t>
  </si>
  <si>
    <t>336-3060470-5</t>
  </si>
  <si>
    <t>FCT65278</t>
  </si>
  <si>
    <t>336-3060467-1</t>
  </si>
  <si>
    <t>FCT65196</t>
  </si>
  <si>
    <t>04/29/25</t>
  </si>
  <si>
    <t>336-3060483-8</t>
  </si>
  <si>
    <t>FCT65738</t>
  </si>
  <si>
    <t>06/16/25</t>
  </si>
  <si>
    <t>FCT65730</t>
  </si>
  <si>
    <t>336-3060482-0</t>
  </si>
  <si>
    <t>FCT65695</t>
  </si>
  <si>
    <t>336-3060490-3</t>
  </si>
  <si>
    <t>FCT66240</t>
  </si>
  <si>
    <t>07/22/25</t>
  </si>
  <si>
    <t>FCT66241</t>
  </si>
  <si>
    <t>336-3060497-8</t>
  </si>
  <si>
    <t>FCT66311</t>
  </si>
  <si>
    <t>FCT66312</t>
  </si>
  <si>
    <t>336-3060488-7</t>
  </si>
  <si>
    <t>FCT66186</t>
  </si>
  <si>
    <t>07/16/25</t>
  </si>
  <si>
    <t>U52-1653959-8</t>
  </si>
  <si>
    <t>FCT66193</t>
  </si>
  <si>
    <t>07/17/25</t>
  </si>
  <si>
    <t>336-3060489-6</t>
  </si>
  <si>
    <t>FCT66347</t>
  </si>
  <si>
    <t>07/31/25</t>
  </si>
  <si>
    <t>FCT66368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</si>
</sst>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m/dd/yy;@"/>
    <numFmt numFmtId="165" formatCode="yyyy\-mm\-dd;@"/>
    <numFmt numFmtId="166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49" fontId="4" fillId="2" borderId="6" xfId="2" applyNumberFormat="1" applyFont="1" applyFill="1" applyBorder="1" applyAlignment="1">
      <alignment horizontal="center" vertical="top" wrapText="1"/>
    </xf>
    <xf numFmtId="0" fontId="0" fillId="3" borderId="7" xfId="0" applyFill="1" applyBorder="1" applyAlignment="1">
      <alignment vertical="top"/>
    </xf>
    <xf numFmtId="0" fontId="0" fillId="0" borderId="7" xfId="0" applyBorder="1" applyAlignment="1" applyProtection="1">
      <alignment vertical="top"/>
      <protection locked="0"/>
    </xf>
    <xf numFmtId="3" fontId="0" fillId="0" borderId="0" xfId="0" applyNumberFormat="1" applyAlignment="1">
      <alignment vertical="top"/>
    </xf>
    <xf numFmtId="0" fontId="0" fillId="3" borderId="7" xfId="0" applyFill="1" applyBorder="1" applyAlignment="1" applyProtection="1">
      <alignment vertical="top"/>
      <protection locked="0"/>
    </xf>
    <xf numFmtId="164" fontId="0" fillId="3" borderId="7" xfId="0" applyNumberFormat="1" applyFill="1" applyBorder="1" applyAlignment="1" applyProtection="1">
      <alignment vertical="top"/>
      <protection locked="0"/>
    </xf>
    <xf numFmtId="14" fontId="0" fillId="3" borderId="7" xfId="0" applyNumberFormat="1" applyFill="1" applyBorder="1" applyAlignment="1" applyProtection="1">
      <alignment vertical="top"/>
      <protection locked="0"/>
    </xf>
    <xf numFmtId="0" fontId="1" fillId="0" borderId="0" xfId="3"/>
    <xf numFmtId="0" fontId="0" fillId="0" borderId="0" xfId="0" applyAlignment="1">
      <alignment vertical="top"/>
    </xf>
    <xf numFmtId="165" fontId="1" fillId="0" borderId="0" xfId="3" applyNumberFormat="1"/>
    <xf numFmtId="9" fontId="0" fillId="4" borderId="0" xfId="0" applyNumberFormat="1" applyFill="1" applyAlignment="1">
      <alignment vertical="top"/>
    </xf>
    <xf numFmtId="0" fontId="3" fillId="0" borderId="0" xfId="0" applyFont="1" applyAlignment="1">
      <alignment vertical="top"/>
    </xf>
    <xf numFmtId="166" fontId="0" fillId="0" borderId="7" xfId="0" applyNumberFormat="1" applyBorder="1" applyAlignment="1" applyProtection="1">
      <alignment vertical="top"/>
      <protection locked="0"/>
    </xf>
    <xf numFmtId="3" fontId="0" fillId="2" borderId="0" xfId="0" applyNumberFormat="1" applyFill="1" applyAlignment="1">
      <alignment vertical="top"/>
    </xf>
    <xf numFmtId="165" fontId="0" fillId="0" borderId="0" xfId="0" applyNumberFormat="1"/>
    <xf numFmtId="1" fontId="5" fillId="0" borderId="0" xfId="0" quotePrefix="1" applyNumberFormat="1" applyFont="1" applyAlignment="1">
      <alignment horizontal="right" vertical="top" wrapText="1"/>
    </xf>
    <xf numFmtId="43" fontId="0" fillId="3" borderId="7" xfId="1" applyFont="1" applyFill="1" applyBorder="1" applyAlignment="1" applyProtection="1">
      <alignment vertical="top"/>
    </xf>
    <xf numFmtId="1" fontId="5" fillId="0" borderId="0" xfId="0" quotePrefix="1" applyNumberFormat="1" applyFont="1" applyAlignment="1">
      <alignment horizontal="right" vertical="top"/>
    </xf>
    <xf numFmtId="1" fontId="0" fillId="0" borderId="0" xfId="0" quotePrefix="1" applyNumberFormat="1" applyAlignment="1">
      <alignment horizontal="right" vertical="top"/>
    </xf>
    <xf numFmtId="9" fontId="0" fillId="5" borderId="0" xfId="0" applyNumberFormat="1" applyFill="1" applyAlignment="1">
      <alignment vertical="top"/>
    </xf>
    <xf numFmtId="14" fontId="0" fillId="0" borderId="7" xfId="0" applyNumberFormat="1" applyBorder="1" applyAlignment="1" applyProtection="1">
      <alignment vertical="top"/>
      <protection locked="0"/>
    </xf>
  </cellXfs>
  <cellStyles count="4">
    <cellStyle name="Komma" xfId="1" builtinId="3"/>
    <cellStyle name="Normal 10" xfId="2" xr:uid="{DA17C965-4138-48BF-A052-DC1C4CBD6A63}"/>
    <cellStyle name="Standard" xfId="0" builtinId="0"/>
    <cellStyle name="Standard 4" xfId="3" xr:uid="{F10E0213-7D3F-451E-93E3-90FF328192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79712-4DCE-4267-8BCF-ECF907DD24C1}">
  <dimension ref="A1:AG29"/>
  <sheetViews>
    <sheetView tabSelected="1" workbookViewId="0">
      <selection activeCell="J32" sqref="J32"/>
    </sheetView>
  </sheetViews>
  <sheetFormatPr baseColWidth="10" defaultRowHeight="15" x14ac:dyDescent="0.25"/>
  <sheetData>
    <row r="1" spans="1:33" ht="15.7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/>
      <c r="AE1" s="2"/>
      <c r="AF1" s="2"/>
      <c r="AG1" s="3"/>
    </row>
    <row r="2" spans="1:33" ht="15.75" thickBot="1" x14ac:dyDescent="0.3">
      <c r="A2" s="1" t="s">
        <v>1</v>
      </c>
      <c r="B2" s="2"/>
      <c r="C2" s="2"/>
      <c r="D2" s="3"/>
      <c r="E2" s="4" t="s">
        <v>2</v>
      </c>
      <c r="F2" s="5"/>
      <c r="G2" s="1" t="s">
        <v>3</v>
      </c>
      <c r="H2" s="2"/>
      <c r="I2" s="3"/>
      <c r="J2" s="1" t="s">
        <v>4</v>
      </c>
      <c r="K2" s="2"/>
      <c r="L2" s="2"/>
      <c r="M2" s="2"/>
      <c r="N2" s="2"/>
      <c r="O2" s="2"/>
      <c r="P2" s="2"/>
      <c r="Q2" s="2"/>
      <c r="R2" s="2"/>
      <c r="S2" s="1" t="s">
        <v>5</v>
      </c>
      <c r="T2" s="2"/>
      <c r="U2" s="2"/>
      <c r="V2" s="2"/>
      <c r="W2" s="2"/>
      <c r="X2" s="2"/>
      <c r="Y2" s="2"/>
      <c r="Z2" s="2"/>
      <c r="AA2" s="2"/>
      <c r="AB2" s="2"/>
      <c r="AC2" s="3"/>
      <c r="AD2" s="1" t="s">
        <v>6</v>
      </c>
      <c r="AE2" s="2"/>
      <c r="AF2" s="2"/>
      <c r="AG2" s="2"/>
    </row>
    <row r="3" spans="1:33" ht="102" x14ac:dyDescent="0.25">
      <c r="A3" s="6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</row>
    <row r="4" spans="1:33" ht="25.5" x14ac:dyDescent="0.25">
      <c r="A4" s="7" t="str">
        <f>$D$6</f>
        <v>Production</v>
      </c>
      <c r="B4" s="7" t="str">
        <f>+$D$8</f>
        <v>Production</v>
      </c>
      <c r="C4" s="8" t="s">
        <v>40</v>
      </c>
      <c r="D4" s="8" t="s">
        <v>41</v>
      </c>
      <c r="E4" s="9">
        <v>1848</v>
      </c>
      <c r="F4" s="9">
        <v>1848</v>
      </c>
      <c r="G4" s="10" t="s">
        <v>42</v>
      </c>
      <c r="H4" s="11">
        <v>45717</v>
      </c>
      <c r="I4" s="12" t="s">
        <v>43</v>
      </c>
      <c r="J4" s="13" t="s">
        <v>44</v>
      </c>
      <c r="K4" s="14" t="s">
        <v>45</v>
      </c>
      <c r="L4" s="14" t="s">
        <v>46</v>
      </c>
      <c r="M4" s="15" t="s">
        <v>47</v>
      </c>
      <c r="N4" s="16">
        <v>0.5</v>
      </c>
      <c r="O4" s="17" t="s">
        <v>48</v>
      </c>
      <c r="P4" s="9">
        <v>1848</v>
      </c>
      <c r="Q4" s="18">
        <f>R4/P4</f>
        <v>1.2997835497835497</v>
      </c>
      <c r="R4" s="19">
        <v>2402</v>
      </c>
      <c r="S4" s="20" t="s">
        <v>49</v>
      </c>
      <c r="T4" s="13" t="s">
        <v>50</v>
      </c>
      <c r="U4" s="13" t="s">
        <v>51</v>
      </c>
      <c r="V4" s="13" t="s">
        <v>52</v>
      </c>
      <c r="W4" s="21" t="s">
        <v>53</v>
      </c>
      <c r="X4" s="8"/>
      <c r="Y4" s="8"/>
      <c r="Z4" s="8"/>
      <c r="AA4" s="8" t="s">
        <v>54</v>
      </c>
      <c r="AB4" s="8" t="s">
        <v>55</v>
      </c>
      <c r="AC4" s="8" t="s">
        <v>56</v>
      </c>
      <c r="AD4" s="22">
        <f t="shared" ref="AD4:AD29" si="0">IF(OR(G4="Sec 232 Steel",G4="Sec 232 Aluminum"),(Q4*N4*Z4),(Q4*N4))</f>
        <v>0.64989177489177485</v>
      </c>
      <c r="AE4" s="8">
        <v>1</v>
      </c>
      <c r="AF4" s="22">
        <f t="shared" ref="AF4:AF29" si="1">AD4*AE4</f>
        <v>0.64989177489177485</v>
      </c>
      <c r="AG4" s="22">
        <f t="shared" ref="AG4:AG29" si="2">AF4*E4</f>
        <v>1201</v>
      </c>
    </row>
    <row r="5" spans="1:33" x14ac:dyDescent="0.25">
      <c r="A5" s="7" t="str">
        <f t="shared" ref="A5:A29" si="3">$D$6</f>
        <v>Production</v>
      </c>
      <c r="B5" s="7" t="str">
        <f t="shared" ref="B5:B29" si="4">+$D$8</f>
        <v>Production</v>
      </c>
      <c r="C5" s="8" t="s">
        <v>40</v>
      </c>
      <c r="D5" s="8" t="s">
        <v>41</v>
      </c>
      <c r="E5" s="9">
        <v>2254</v>
      </c>
      <c r="F5" s="9">
        <v>2254</v>
      </c>
      <c r="G5" s="10" t="s">
        <v>42</v>
      </c>
      <c r="H5" s="11">
        <v>45717</v>
      </c>
      <c r="I5" s="12" t="s">
        <v>43</v>
      </c>
      <c r="J5" s="13" t="s">
        <v>44</v>
      </c>
      <c r="K5" s="14" t="s">
        <v>45</v>
      </c>
      <c r="L5" s="14" t="s">
        <v>46</v>
      </c>
      <c r="M5" s="15" t="s">
        <v>47</v>
      </c>
      <c r="N5" s="16">
        <v>0.5</v>
      </c>
      <c r="O5" s="14" t="s">
        <v>57</v>
      </c>
      <c r="P5" s="9">
        <v>2254</v>
      </c>
      <c r="Q5" s="18">
        <f t="shared" ref="Q5:Q29" si="5">R5/P5</f>
        <v>1.510204081632653</v>
      </c>
      <c r="R5" s="19">
        <v>3404</v>
      </c>
      <c r="S5" s="20" t="s">
        <v>58</v>
      </c>
      <c r="T5" s="13" t="s">
        <v>50</v>
      </c>
      <c r="U5" s="13" t="s">
        <v>59</v>
      </c>
      <c r="V5" s="13" t="s">
        <v>52</v>
      </c>
      <c r="W5" s="23" t="s">
        <v>60</v>
      </c>
      <c r="X5" s="8"/>
      <c r="Y5" s="8"/>
      <c r="Z5" s="8"/>
      <c r="AA5" s="8" t="s">
        <v>54</v>
      </c>
      <c r="AB5" s="8" t="s">
        <v>55</v>
      </c>
      <c r="AC5" s="8" t="s">
        <v>56</v>
      </c>
      <c r="AD5" s="22">
        <f t="shared" si="0"/>
        <v>0.75510204081632648</v>
      </c>
      <c r="AE5" s="8">
        <v>1</v>
      </c>
      <c r="AF5" s="22">
        <f t="shared" si="1"/>
        <v>0.75510204081632648</v>
      </c>
      <c r="AG5" s="22">
        <f t="shared" si="2"/>
        <v>1702</v>
      </c>
    </row>
    <row r="6" spans="1:33" x14ac:dyDescent="0.25">
      <c r="A6" s="7" t="str">
        <f t="shared" si="3"/>
        <v>Production</v>
      </c>
      <c r="B6" s="7" t="str">
        <f t="shared" si="4"/>
        <v>Production</v>
      </c>
      <c r="C6" s="8" t="s">
        <v>40</v>
      </c>
      <c r="D6" s="8" t="s">
        <v>41</v>
      </c>
      <c r="E6" s="9">
        <v>3577</v>
      </c>
      <c r="F6" s="9">
        <v>3577</v>
      </c>
      <c r="G6" s="10" t="s">
        <v>42</v>
      </c>
      <c r="H6" s="11">
        <v>45717</v>
      </c>
      <c r="I6" s="12" t="s">
        <v>43</v>
      </c>
      <c r="J6" s="13" t="s">
        <v>44</v>
      </c>
      <c r="K6" s="14" t="s">
        <v>61</v>
      </c>
      <c r="L6" s="14" t="s">
        <v>46</v>
      </c>
      <c r="M6" s="15" t="s">
        <v>62</v>
      </c>
      <c r="N6" s="16">
        <v>0.5</v>
      </c>
      <c r="O6" s="14" t="s">
        <v>63</v>
      </c>
      <c r="P6" s="9">
        <v>3577</v>
      </c>
      <c r="Q6" s="18">
        <f t="shared" si="5"/>
        <v>1.2999720436119653</v>
      </c>
      <c r="R6" s="19">
        <v>4650</v>
      </c>
      <c r="S6" s="20" t="s">
        <v>64</v>
      </c>
      <c r="T6" s="13" t="s">
        <v>50</v>
      </c>
      <c r="U6" s="13" t="s">
        <v>59</v>
      </c>
      <c r="V6" s="13" t="s">
        <v>52</v>
      </c>
      <c r="W6" s="24" t="s">
        <v>60</v>
      </c>
      <c r="X6" s="8"/>
      <c r="Y6" s="8"/>
      <c r="Z6" s="8"/>
      <c r="AA6" s="8" t="s">
        <v>54</v>
      </c>
      <c r="AB6" s="8" t="s">
        <v>55</v>
      </c>
      <c r="AC6" s="8" t="s">
        <v>56</v>
      </c>
      <c r="AD6" s="22">
        <f t="shared" si="0"/>
        <v>0.64998602180598264</v>
      </c>
      <c r="AE6" s="8">
        <v>1</v>
      </c>
      <c r="AF6" s="22">
        <f t="shared" si="1"/>
        <v>0.64998602180598264</v>
      </c>
      <c r="AG6" s="22">
        <f t="shared" si="2"/>
        <v>2325</v>
      </c>
    </row>
    <row r="7" spans="1:33" x14ac:dyDescent="0.25">
      <c r="A7" s="7" t="str">
        <f t="shared" si="3"/>
        <v>Production</v>
      </c>
      <c r="B7" s="7" t="str">
        <f t="shared" si="4"/>
        <v>Production</v>
      </c>
      <c r="C7" s="8" t="s">
        <v>40</v>
      </c>
      <c r="D7" s="8" t="s">
        <v>41</v>
      </c>
      <c r="E7" s="9">
        <v>1904</v>
      </c>
      <c r="F7" s="9">
        <v>1904</v>
      </c>
      <c r="G7" s="10" t="s">
        <v>42</v>
      </c>
      <c r="H7" s="11">
        <v>45717</v>
      </c>
      <c r="I7" s="12" t="s">
        <v>43</v>
      </c>
      <c r="J7" s="13" t="s">
        <v>44</v>
      </c>
      <c r="K7" s="14" t="s">
        <v>61</v>
      </c>
      <c r="L7" s="14" t="s">
        <v>46</v>
      </c>
      <c r="M7" s="15" t="s">
        <v>62</v>
      </c>
      <c r="N7" s="16">
        <v>0.5</v>
      </c>
      <c r="O7" s="14" t="s">
        <v>65</v>
      </c>
      <c r="P7" s="9">
        <v>1904</v>
      </c>
      <c r="Q7" s="18">
        <f t="shared" si="5"/>
        <v>1.2998949579831933</v>
      </c>
      <c r="R7" s="19">
        <v>2475</v>
      </c>
      <c r="S7" s="20" t="s">
        <v>66</v>
      </c>
      <c r="T7" s="13" t="s">
        <v>50</v>
      </c>
      <c r="U7" s="13" t="s">
        <v>51</v>
      </c>
      <c r="V7" s="13" t="s">
        <v>52</v>
      </c>
      <c r="W7" s="24" t="s">
        <v>53</v>
      </c>
      <c r="X7" s="8"/>
      <c r="Y7" s="8"/>
      <c r="Z7" s="8"/>
      <c r="AA7" s="8" t="s">
        <v>54</v>
      </c>
      <c r="AB7" s="8" t="s">
        <v>55</v>
      </c>
      <c r="AC7" s="8" t="s">
        <v>56</v>
      </c>
      <c r="AD7" s="22">
        <f t="shared" si="0"/>
        <v>0.64994747899159666</v>
      </c>
      <c r="AE7" s="8">
        <v>1</v>
      </c>
      <c r="AF7" s="22">
        <f t="shared" si="1"/>
        <v>0.64994747899159666</v>
      </c>
      <c r="AG7" s="22">
        <f t="shared" si="2"/>
        <v>1237.5</v>
      </c>
    </row>
    <row r="8" spans="1:33" x14ac:dyDescent="0.25">
      <c r="A8" s="7" t="str">
        <f t="shared" si="3"/>
        <v>Production</v>
      </c>
      <c r="B8" s="7" t="str">
        <f t="shared" si="4"/>
        <v>Production</v>
      </c>
      <c r="C8" s="8" t="s">
        <v>40</v>
      </c>
      <c r="D8" s="8" t="s">
        <v>41</v>
      </c>
      <c r="E8" s="9">
        <v>3381</v>
      </c>
      <c r="F8" s="9">
        <v>3381</v>
      </c>
      <c r="G8" s="10" t="s">
        <v>42</v>
      </c>
      <c r="H8" s="11">
        <v>45717</v>
      </c>
      <c r="I8" s="12" t="s">
        <v>43</v>
      </c>
      <c r="J8" s="13" t="s">
        <v>44</v>
      </c>
      <c r="K8" s="14" t="s">
        <v>61</v>
      </c>
      <c r="L8" s="14" t="s">
        <v>46</v>
      </c>
      <c r="M8" s="15" t="s">
        <v>62</v>
      </c>
      <c r="N8" s="16">
        <v>0.5</v>
      </c>
      <c r="O8" s="14" t="s">
        <v>67</v>
      </c>
      <c r="P8" s="9">
        <v>3381</v>
      </c>
      <c r="Q8" s="18">
        <f t="shared" si="5"/>
        <v>1.5099083111505471</v>
      </c>
      <c r="R8" s="19">
        <v>5105</v>
      </c>
      <c r="S8" s="20">
        <v>45723</v>
      </c>
      <c r="T8" s="13" t="s">
        <v>50</v>
      </c>
      <c r="U8" s="13" t="s">
        <v>59</v>
      </c>
      <c r="V8" s="13" t="s">
        <v>52</v>
      </c>
      <c r="W8" s="24" t="s">
        <v>60</v>
      </c>
      <c r="X8" s="8"/>
      <c r="Y8" s="8"/>
      <c r="Z8" s="8"/>
      <c r="AA8" s="8" t="s">
        <v>54</v>
      </c>
      <c r="AB8" s="8" t="s">
        <v>55</v>
      </c>
      <c r="AC8" s="8" t="s">
        <v>56</v>
      </c>
      <c r="AD8" s="22">
        <f t="shared" si="0"/>
        <v>0.75495415557527357</v>
      </c>
      <c r="AE8" s="8">
        <v>1</v>
      </c>
      <c r="AF8" s="22">
        <f t="shared" si="1"/>
        <v>0.75495415557527357</v>
      </c>
      <c r="AG8" s="22">
        <f t="shared" si="2"/>
        <v>2552.5</v>
      </c>
    </row>
    <row r="9" spans="1:33" x14ac:dyDescent="0.25">
      <c r="A9" s="7" t="str">
        <f t="shared" si="3"/>
        <v>Production</v>
      </c>
      <c r="B9" s="7" t="str">
        <f t="shared" si="4"/>
        <v>Production</v>
      </c>
      <c r="C9" s="8" t="s">
        <v>40</v>
      </c>
      <c r="D9" s="8" t="s">
        <v>41</v>
      </c>
      <c r="E9" s="9">
        <v>3360</v>
      </c>
      <c r="F9" s="9">
        <v>3360</v>
      </c>
      <c r="G9" s="10" t="s">
        <v>42</v>
      </c>
      <c r="H9" s="11">
        <v>45717</v>
      </c>
      <c r="I9" s="12" t="s">
        <v>43</v>
      </c>
      <c r="J9" s="13" t="s">
        <v>44</v>
      </c>
      <c r="K9" s="14" t="s">
        <v>68</v>
      </c>
      <c r="L9" s="14" t="s">
        <v>46</v>
      </c>
      <c r="M9" s="15" t="s">
        <v>69</v>
      </c>
      <c r="N9" s="16">
        <v>0.5</v>
      </c>
      <c r="O9" s="14" t="s">
        <v>70</v>
      </c>
      <c r="P9" s="9">
        <v>3360</v>
      </c>
      <c r="Q9" s="18">
        <f t="shared" si="5"/>
        <v>1.3</v>
      </c>
      <c r="R9" s="19">
        <v>4368</v>
      </c>
      <c r="S9" s="20">
        <v>45876</v>
      </c>
      <c r="T9" s="13" t="s">
        <v>50</v>
      </c>
      <c r="U9" s="13" t="s">
        <v>51</v>
      </c>
      <c r="V9" s="13" t="s">
        <v>52</v>
      </c>
      <c r="W9" s="24" t="s">
        <v>53</v>
      </c>
      <c r="X9" s="8"/>
      <c r="Y9" s="8"/>
      <c r="Z9" s="8"/>
      <c r="AA9" s="8" t="s">
        <v>54</v>
      </c>
      <c r="AB9" s="8" t="s">
        <v>55</v>
      </c>
      <c r="AC9" s="8" t="s">
        <v>56</v>
      </c>
      <c r="AD9" s="22">
        <f t="shared" si="0"/>
        <v>0.65</v>
      </c>
      <c r="AE9" s="8">
        <v>1</v>
      </c>
      <c r="AF9" s="22">
        <f t="shared" si="1"/>
        <v>0.65</v>
      </c>
      <c r="AG9" s="22">
        <f t="shared" si="2"/>
        <v>2184</v>
      </c>
    </row>
    <row r="10" spans="1:33" x14ac:dyDescent="0.25">
      <c r="A10" s="7" t="str">
        <f t="shared" si="3"/>
        <v>Production</v>
      </c>
      <c r="B10" s="7" t="str">
        <f t="shared" si="4"/>
        <v>Production</v>
      </c>
      <c r="C10" s="8" t="s">
        <v>40</v>
      </c>
      <c r="D10" s="8" t="s">
        <v>41</v>
      </c>
      <c r="E10" s="9">
        <v>3381</v>
      </c>
      <c r="F10" s="9">
        <v>3381</v>
      </c>
      <c r="G10" s="10" t="s">
        <v>42</v>
      </c>
      <c r="H10" s="11">
        <v>45717</v>
      </c>
      <c r="I10" s="12" t="s">
        <v>43</v>
      </c>
      <c r="J10" s="13" t="s">
        <v>44</v>
      </c>
      <c r="K10" s="14" t="s">
        <v>68</v>
      </c>
      <c r="L10" s="14" t="s">
        <v>46</v>
      </c>
      <c r="M10" s="15" t="s">
        <v>69</v>
      </c>
      <c r="N10" s="16">
        <v>0.5</v>
      </c>
      <c r="O10" s="14" t="s">
        <v>71</v>
      </c>
      <c r="P10" s="9">
        <v>3381</v>
      </c>
      <c r="Q10" s="18">
        <f t="shared" si="5"/>
        <v>1.5099083111505471</v>
      </c>
      <c r="R10" s="19">
        <v>5105</v>
      </c>
      <c r="S10" s="20">
        <v>45907</v>
      </c>
      <c r="T10" s="13" t="s">
        <v>50</v>
      </c>
      <c r="U10" s="13" t="s">
        <v>59</v>
      </c>
      <c r="V10" s="13" t="s">
        <v>52</v>
      </c>
      <c r="W10" s="24" t="s">
        <v>60</v>
      </c>
      <c r="X10" s="8"/>
      <c r="Y10" s="8"/>
      <c r="Z10" s="8"/>
      <c r="AA10" s="8" t="s">
        <v>54</v>
      </c>
      <c r="AB10" s="8" t="s">
        <v>55</v>
      </c>
      <c r="AC10" s="8" t="s">
        <v>56</v>
      </c>
      <c r="AD10" s="22">
        <f t="shared" si="0"/>
        <v>0.75495415557527357</v>
      </c>
      <c r="AE10" s="8">
        <v>1</v>
      </c>
      <c r="AF10" s="22">
        <f t="shared" si="1"/>
        <v>0.75495415557527357</v>
      </c>
      <c r="AG10" s="22">
        <f t="shared" si="2"/>
        <v>2552.5</v>
      </c>
    </row>
    <row r="11" spans="1:33" x14ac:dyDescent="0.25">
      <c r="A11" s="7" t="str">
        <f t="shared" si="3"/>
        <v>Production</v>
      </c>
      <c r="B11" s="7" t="str">
        <f t="shared" si="4"/>
        <v>Production</v>
      </c>
      <c r="C11" s="8" t="s">
        <v>40</v>
      </c>
      <c r="D11" s="8" t="s">
        <v>41</v>
      </c>
      <c r="E11" s="9">
        <v>2800</v>
      </c>
      <c r="F11" s="9">
        <v>2800</v>
      </c>
      <c r="G11" s="10" t="s">
        <v>42</v>
      </c>
      <c r="H11" s="11">
        <v>45717</v>
      </c>
      <c r="I11" s="12" t="s">
        <v>43</v>
      </c>
      <c r="J11" s="13" t="s">
        <v>72</v>
      </c>
      <c r="K11" s="14" t="s">
        <v>73</v>
      </c>
      <c r="L11" s="14" t="s">
        <v>74</v>
      </c>
      <c r="M11" s="15">
        <v>45663</v>
      </c>
      <c r="N11" s="16">
        <v>0.5</v>
      </c>
      <c r="O11" s="14" t="s">
        <v>75</v>
      </c>
      <c r="P11" s="9">
        <v>2800</v>
      </c>
      <c r="Q11" s="18">
        <f t="shared" si="5"/>
        <v>2.9728571428571429</v>
      </c>
      <c r="R11" s="19">
        <v>8324</v>
      </c>
      <c r="S11" s="20" t="s">
        <v>76</v>
      </c>
      <c r="T11" s="13" t="s">
        <v>50</v>
      </c>
      <c r="U11" s="13" t="s">
        <v>51</v>
      </c>
      <c r="V11" s="13" t="s">
        <v>52</v>
      </c>
      <c r="W11" s="24" t="s">
        <v>53</v>
      </c>
      <c r="X11" s="8"/>
      <c r="Y11" s="8"/>
      <c r="Z11" s="8"/>
      <c r="AA11" s="8" t="s">
        <v>54</v>
      </c>
      <c r="AB11" s="8" t="s">
        <v>55</v>
      </c>
      <c r="AC11" s="8" t="s">
        <v>56</v>
      </c>
      <c r="AD11" s="22">
        <f t="shared" si="0"/>
        <v>1.4864285714285714</v>
      </c>
      <c r="AE11" s="8">
        <v>1</v>
      </c>
      <c r="AF11" s="22">
        <f t="shared" si="1"/>
        <v>1.4864285714285714</v>
      </c>
      <c r="AG11" s="22">
        <f t="shared" si="2"/>
        <v>4162</v>
      </c>
    </row>
    <row r="12" spans="1:33" x14ac:dyDescent="0.25">
      <c r="A12" s="7" t="str">
        <f t="shared" si="3"/>
        <v>Production</v>
      </c>
      <c r="B12" s="7" t="str">
        <f t="shared" si="4"/>
        <v>Production</v>
      </c>
      <c r="C12" s="8" t="s">
        <v>40</v>
      </c>
      <c r="D12" s="8" t="s">
        <v>41</v>
      </c>
      <c r="E12" s="9">
        <v>3360</v>
      </c>
      <c r="F12" s="9">
        <v>3360</v>
      </c>
      <c r="G12" s="10" t="s">
        <v>42</v>
      </c>
      <c r="H12" s="11">
        <v>45717</v>
      </c>
      <c r="I12" s="12" t="s">
        <v>43</v>
      </c>
      <c r="J12" s="13" t="s">
        <v>72</v>
      </c>
      <c r="K12" s="14" t="s">
        <v>77</v>
      </c>
      <c r="L12" s="14" t="s">
        <v>78</v>
      </c>
      <c r="M12" s="15">
        <v>45802</v>
      </c>
      <c r="N12" s="25">
        <v>0.25</v>
      </c>
      <c r="O12" s="14" t="s">
        <v>79</v>
      </c>
      <c r="P12" s="9">
        <v>3360</v>
      </c>
      <c r="Q12" s="18">
        <f t="shared" si="5"/>
        <v>2.9738095238095239</v>
      </c>
      <c r="R12" s="19">
        <v>9992</v>
      </c>
      <c r="S12" s="20" t="s">
        <v>80</v>
      </c>
      <c r="T12" s="13" t="s">
        <v>50</v>
      </c>
      <c r="U12" s="13" t="s">
        <v>51</v>
      </c>
      <c r="V12" s="13" t="s">
        <v>52</v>
      </c>
      <c r="W12" s="24" t="s">
        <v>53</v>
      </c>
      <c r="X12" s="8"/>
      <c r="Y12" s="8"/>
      <c r="Z12" s="8"/>
      <c r="AA12" s="8" t="s">
        <v>54</v>
      </c>
      <c r="AB12" s="8" t="s">
        <v>55</v>
      </c>
      <c r="AC12" s="8" t="s">
        <v>56</v>
      </c>
      <c r="AD12" s="22">
        <f t="shared" si="0"/>
        <v>0.74345238095238098</v>
      </c>
      <c r="AE12" s="8">
        <v>1</v>
      </c>
      <c r="AF12" s="22">
        <f t="shared" si="1"/>
        <v>0.74345238095238098</v>
      </c>
      <c r="AG12" s="22">
        <f t="shared" si="2"/>
        <v>2498</v>
      </c>
    </row>
    <row r="13" spans="1:33" x14ac:dyDescent="0.25">
      <c r="A13" s="7" t="str">
        <f t="shared" si="3"/>
        <v>Production</v>
      </c>
      <c r="B13" s="7" t="str">
        <f t="shared" si="4"/>
        <v>Production</v>
      </c>
      <c r="C13" s="8" t="s">
        <v>40</v>
      </c>
      <c r="D13" s="8" t="s">
        <v>41</v>
      </c>
      <c r="E13" s="9">
        <v>2240</v>
      </c>
      <c r="F13" s="9">
        <v>2240</v>
      </c>
      <c r="G13" s="10" t="s">
        <v>42</v>
      </c>
      <c r="H13" s="11">
        <v>45717</v>
      </c>
      <c r="I13" s="12" t="s">
        <v>43</v>
      </c>
      <c r="J13" s="13" t="s">
        <v>72</v>
      </c>
      <c r="K13" s="14" t="s">
        <v>81</v>
      </c>
      <c r="L13" s="14" t="s">
        <v>78</v>
      </c>
      <c r="M13" s="15">
        <v>45767</v>
      </c>
      <c r="N13" s="25">
        <v>0.25</v>
      </c>
      <c r="O13" s="14" t="s">
        <v>82</v>
      </c>
      <c r="P13" s="9">
        <v>2240</v>
      </c>
      <c r="Q13" s="18">
        <f t="shared" si="5"/>
        <v>2.9772321428571429</v>
      </c>
      <c r="R13" s="8">
        <v>6669</v>
      </c>
      <c r="S13" s="26" t="s">
        <v>83</v>
      </c>
      <c r="T13" s="13" t="s">
        <v>50</v>
      </c>
      <c r="U13" s="13" t="s">
        <v>51</v>
      </c>
      <c r="V13" s="13" t="s">
        <v>52</v>
      </c>
      <c r="W13" s="24" t="s">
        <v>53</v>
      </c>
      <c r="X13" s="8"/>
      <c r="Y13" s="8"/>
      <c r="Z13" s="8"/>
      <c r="AA13" s="8" t="s">
        <v>54</v>
      </c>
      <c r="AB13" s="8" t="s">
        <v>55</v>
      </c>
      <c r="AC13" s="8" t="s">
        <v>56</v>
      </c>
      <c r="AD13" s="22">
        <f t="shared" si="0"/>
        <v>0.74430803571428572</v>
      </c>
      <c r="AE13" s="8">
        <v>1</v>
      </c>
      <c r="AF13" s="22">
        <f t="shared" si="1"/>
        <v>0.74430803571428572</v>
      </c>
      <c r="AG13" s="22">
        <f t="shared" si="2"/>
        <v>1667.25</v>
      </c>
    </row>
    <row r="14" spans="1:33" x14ac:dyDescent="0.25">
      <c r="A14" s="7" t="str">
        <f t="shared" si="3"/>
        <v>Production</v>
      </c>
      <c r="B14" s="7" t="str">
        <f t="shared" si="4"/>
        <v>Production</v>
      </c>
      <c r="C14" s="8" t="s">
        <v>40</v>
      </c>
      <c r="D14" s="8" t="s">
        <v>41</v>
      </c>
      <c r="E14" s="9">
        <v>3360</v>
      </c>
      <c r="F14" s="9">
        <v>3360</v>
      </c>
      <c r="G14" s="10" t="s">
        <v>42</v>
      </c>
      <c r="H14" s="11">
        <v>45717</v>
      </c>
      <c r="I14" s="12" t="s">
        <v>43</v>
      </c>
      <c r="J14" s="13" t="s">
        <v>72</v>
      </c>
      <c r="K14" s="14" t="s">
        <v>84</v>
      </c>
      <c r="L14" s="14" t="s">
        <v>78</v>
      </c>
      <c r="M14" s="15">
        <v>45821</v>
      </c>
      <c r="N14" s="16">
        <v>0.5</v>
      </c>
      <c r="O14" s="14" t="s">
        <v>85</v>
      </c>
      <c r="P14" s="9">
        <v>3360</v>
      </c>
      <c r="Q14" s="18">
        <f t="shared" si="5"/>
        <v>3.0333333333333332</v>
      </c>
      <c r="R14" s="8">
        <v>10192</v>
      </c>
      <c r="S14" s="26">
        <v>45936</v>
      </c>
      <c r="T14" s="13" t="s">
        <v>50</v>
      </c>
      <c r="U14" s="13" t="s">
        <v>51</v>
      </c>
      <c r="V14" s="13" t="s">
        <v>52</v>
      </c>
      <c r="W14" s="24" t="s">
        <v>53</v>
      </c>
      <c r="X14" s="8"/>
      <c r="Y14" s="8"/>
      <c r="Z14" s="8"/>
      <c r="AA14" s="8" t="s">
        <v>54</v>
      </c>
      <c r="AB14" s="8" t="s">
        <v>55</v>
      </c>
      <c r="AC14" s="8" t="s">
        <v>56</v>
      </c>
      <c r="AD14" s="22">
        <f t="shared" si="0"/>
        <v>1.5166666666666666</v>
      </c>
      <c r="AE14" s="8">
        <v>1</v>
      </c>
      <c r="AF14" s="22">
        <f t="shared" si="1"/>
        <v>1.5166666666666666</v>
      </c>
      <c r="AG14" s="22">
        <f t="shared" si="2"/>
        <v>5096</v>
      </c>
    </row>
    <row r="15" spans="1:33" x14ac:dyDescent="0.25">
      <c r="A15" s="7" t="str">
        <f t="shared" si="3"/>
        <v>Production</v>
      </c>
      <c r="B15" s="7" t="str">
        <f t="shared" si="4"/>
        <v>Production</v>
      </c>
      <c r="C15" s="8" t="s">
        <v>40</v>
      </c>
      <c r="D15" s="8" t="s">
        <v>41</v>
      </c>
      <c r="E15" s="9">
        <v>931</v>
      </c>
      <c r="F15" s="9">
        <v>931</v>
      </c>
      <c r="G15" s="10" t="s">
        <v>42</v>
      </c>
      <c r="H15" s="11">
        <v>45717</v>
      </c>
      <c r="I15" s="12" t="s">
        <v>43</v>
      </c>
      <c r="J15" s="13" t="s">
        <v>72</v>
      </c>
      <c r="K15" s="14" t="s">
        <v>86</v>
      </c>
      <c r="L15" s="14" t="s">
        <v>78</v>
      </c>
      <c r="M15" s="15">
        <v>45781</v>
      </c>
      <c r="N15" s="25">
        <v>0.25</v>
      </c>
      <c r="O15" s="14" t="s">
        <v>87</v>
      </c>
      <c r="P15" s="9">
        <v>931</v>
      </c>
      <c r="Q15" s="18">
        <f t="shared" si="5"/>
        <v>3.3651987110633725</v>
      </c>
      <c r="R15" s="8">
        <v>3133</v>
      </c>
      <c r="S15" s="26" t="s">
        <v>88</v>
      </c>
      <c r="T15" s="13" t="s">
        <v>50</v>
      </c>
      <c r="U15" s="13" t="s">
        <v>59</v>
      </c>
      <c r="V15" s="13" t="s">
        <v>52</v>
      </c>
      <c r="W15" s="24" t="s">
        <v>60</v>
      </c>
      <c r="X15" s="8"/>
      <c r="Y15" s="8"/>
      <c r="Z15" s="8"/>
      <c r="AA15" s="8" t="s">
        <v>54</v>
      </c>
      <c r="AB15" s="8" t="s">
        <v>55</v>
      </c>
      <c r="AC15" s="8" t="s">
        <v>56</v>
      </c>
      <c r="AD15" s="22">
        <f t="shared" si="0"/>
        <v>0.84129967776584313</v>
      </c>
      <c r="AE15" s="8">
        <v>1</v>
      </c>
      <c r="AF15" s="22">
        <f t="shared" si="1"/>
        <v>0.84129967776584313</v>
      </c>
      <c r="AG15" s="22">
        <f t="shared" si="2"/>
        <v>783.25</v>
      </c>
    </row>
    <row r="16" spans="1:33" x14ac:dyDescent="0.25">
      <c r="A16" s="7" t="str">
        <f t="shared" si="3"/>
        <v>Production</v>
      </c>
      <c r="B16" s="7" t="str">
        <f t="shared" si="4"/>
        <v>Production</v>
      </c>
      <c r="C16" s="8" t="s">
        <v>40</v>
      </c>
      <c r="D16" s="8" t="s">
        <v>41</v>
      </c>
      <c r="E16" s="9">
        <v>3360</v>
      </c>
      <c r="F16" s="9">
        <v>3360</v>
      </c>
      <c r="G16" s="10" t="s">
        <v>42</v>
      </c>
      <c r="H16" s="11">
        <v>45717</v>
      </c>
      <c r="I16" s="12" t="s">
        <v>43</v>
      </c>
      <c r="J16" s="13" t="s">
        <v>72</v>
      </c>
      <c r="K16" s="14" t="s">
        <v>86</v>
      </c>
      <c r="L16" s="14" t="s">
        <v>78</v>
      </c>
      <c r="M16" s="15">
        <v>45781</v>
      </c>
      <c r="N16" s="25">
        <v>0.25</v>
      </c>
      <c r="O16" s="14" t="s">
        <v>89</v>
      </c>
      <c r="P16" s="9">
        <v>3360</v>
      </c>
      <c r="Q16" s="18">
        <f t="shared" si="5"/>
        <v>2.9684523809523808</v>
      </c>
      <c r="R16" s="8">
        <v>9974</v>
      </c>
      <c r="S16" s="26" t="s">
        <v>88</v>
      </c>
      <c r="T16" s="13" t="s">
        <v>50</v>
      </c>
      <c r="U16" s="13" t="s">
        <v>51</v>
      </c>
      <c r="V16" s="13" t="s">
        <v>52</v>
      </c>
      <c r="W16" s="24" t="s">
        <v>53</v>
      </c>
      <c r="X16" s="8"/>
      <c r="Y16" s="8"/>
      <c r="Z16" s="8"/>
      <c r="AA16" s="8" t="s">
        <v>54</v>
      </c>
      <c r="AB16" s="8" t="s">
        <v>55</v>
      </c>
      <c r="AC16" s="8" t="s">
        <v>56</v>
      </c>
      <c r="AD16" s="22">
        <f t="shared" si="0"/>
        <v>0.74211309523809521</v>
      </c>
      <c r="AE16" s="8">
        <v>1</v>
      </c>
      <c r="AF16" s="22">
        <f t="shared" si="1"/>
        <v>0.74211309523809521</v>
      </c>
      <c r="AG16" s="22">
        <f t="shared" si="2"/>
        <v>2493.5</v>
      </c>
    </row>
    <row r="17" spans="1:33" x14ac:dyDescent="0.25">
      <c r="A17" s="7" t="str">
        <f t="shared" si="3"/>
        <v>Production</v>
      </c>
      <c r="B17" s="7" t="str">
        <f t="shared" si="4"/>
        <v>Production</v>
      </c>
      <c r="C17" s="8" t="s">
        <v>40</v>
      </c>
      <c r="D17" s="8" t="s">
        <v>41</v>
      </c>
      <c r="E17" s="9">
        <v>2597</v>
      </c>
      <c r="F17" s="9">
        <v>2597</v>
      </c>
      <c r="G17" s="10" t="s">
        <v>42</v>
      </c>
      <c r="H17" s="11">
        <v>45717</v>
      </c>
      <c r="I17" s="12" t="s">
        <v>43</v>
      </c>
      <c r="J17" s="13" t="s">
        <v>72</v>
      </c>
      <c r="K17" s="14" t="s">
        <v>90</v>
      </c>
      <c r="L17" s="14" t="s">
        <v>78</v>
      </c>
      <c r="M17" s="15">
        <v>45788</v>
      </c>
      <c r="N17" s="25">
        <v>0.25</v>
      </c>
      <c r="O17" s="14" t="s">
        <v>91</v>
      </c>
      <c r="P17" s="9">
        <v>2597</v>
      </c>
      <c r="Q17" s="18">
        <f t="shared" si="5"/>
        <v>3.3473238351944552</v>
      </c>
      <c r="R17" s="8">
        <v>8693</v>
      </c>
      <c r="S17" s="26">
        <v>45813</v>
      </c>
      <c r="T17" s="13" t="s">
        <v>50</v>
      </c>
      <c r="U17" s="13" t="s">
        <v>59</v>
      </c>
      <c r="V17" s="13" t="s">
        <v>52</v>
      </c>
      <c r="W17" s="24" t="s">
        <v>60</v>
      </c>
      <c r="X17" s="8"/>
      <c r="Y17" s="8"/>
      <c r="Z17" s="8"/>
      <c r="AA17" s="8" t="s">
        <v>54</v>
      </c>
      <c r="AB17" s="8" t="s">
        <v>55</v>
      </c>
      <c r="AC17" s="8" t="s">
        <v>56</v>
      </c>
      <c r="AD17" s="22">
        <f t="shared" si="0"/>
        <v>0.8368309587986138</v>
      </c>
      <c r="AE17" s="8">
        <v>1</v>
      </c>
      <c r="AF17" s="22">
        <f t="shared" si="1"/>
        <v>0.8368309587986138</v>
      </c>
      <c r="AG17" s="22">
        <f t="shared" si="2"/>
        <v>2173.25</v>
      </c>
    </row>
    <row r="18" spans="1:33" x14ac:dyDescent="0.25">
      <c r="A18" s="7" t="str">
        <f t="shared" si="3"/>
        <v>Production</v>
      </c>
      <c r="B18" s="7" t="str">
        <f t="shared" si="4"/>
        <v>Production</v>
      </c>
      <c r="C18" s="8" t="s">
        <v>40</v>
      </c>
      <c r="D18" s="8" t="s">
        <v>41</v>
      </c>
      <c r="E18" s="9">
        <v>1029</v>
      </c>
      <c r="F18" s="9">
        <v>1029</v>
      </c>
      <c r="G18" s="10" t="s">
        <v>42</v>
      </c>
      <c r="H18" s="11">
        <v>45717</v>
      </c>
      <c r="I18" s="12" t="s">
        <v>43</v>
      </c>
      <c r="J18" s="13" t="s">
        <v>72</v>
      </c>
      <c r="K18" s="14" t="s">
        <v>92</v>
      </c>
      <c r="L18" s="14" t="s">
        <v>78</v>
      </c>
      <c r="M18" s="15">
        <v>45778</v>
      </c>
      <c r="N18" s="25">
        <v>0.25</v>
      </c>
      <c r="O18" s="14" t="s">
        <v>93</v>
      </c>
      <c r="P18" s="9">
        <v>1029</v>
      </c>
      <c r="Q18" s="18">
        <f t="shared" si="5"/>
        <v>3.3848396501457727</v>
      </c>
      <c r="R18" s="8">
        <v>3483</v>
      </c>
      <c r="S18" s="26" t="s">
        <v>94</v>
      </c>
      <c r="T18" s="13" t="s">
        <v>50</v>
      </c>
      <c r="U18" s="13" t="s">
        <v>59</v>
      </c>
      <c r="V18" s="13" t="s">
        <v>52</v>
      </c>
      <c r="W18" s="24" t="s">
        <v>60</v>
      </c>
      <c r="X18" s="8"/>
      <c r="Y18" s="8"/>
      <c r="Z18" s="8"/>
      <c r="AA18" s="8" t="s">
        <v>54</v>
      </c>
      <c r="AB18" s="8" t="s">
        <v>55</v>
      </c>
      <c r="AC18" s="8" t="s">
        <v>56</v>
      </c>
      <c r="AD18" s="22">
        <f t="shared" si="0"/>
        <v>0.84620991253644318</v>
      </c>
      <c r="AE18" s="8">
        <v>1</v>
      </c>
      <c r="AF18" s="22">
        <f t="shared" si="1"/>
        <v>0.84620991253644318</v>
      </c>
      <c r="AG18" s="22">
        <f t="shared" si="2"/>
        <v>870.75</v>
      </c>
    </row>
    <row r="19" spans="1:33" x14ac:dyDescent="0.25">
      <c r="A19" s="7" t="str">
        <f t="shared" si="3"/>
        <v>Production</v>
      </c>
      <c r="B19" s="7" t="str">
        <f t="shared" si="4"/>
        <v>Production</v>
      </c>
      <c r="C19" s="8" t="s">
        <v>40</v>
      </c>
      <c r="D19" s="8" t="s">
        <v>41</v>
      </c>
      <c r="E19" s="9">
        <v>1512</v>
      </c>
      <c r="F19" s="9">
        <v>1512</v>
      </c>
      <c r="G19" s="10" t="s">
        <v>42</v>
      </c>
      <c r="H19" s="11">
        <v>45717</v>
      </c>
      <c r="I19" s="12" t="s">
        <v>43</v>
      </c>
      <c r="J19" s="13" t="s">
        <v>72</v>
      </c>
      <c r="K19" s="14" t="s">
        <v>95</v>
      </c>
      <c r="L19" s="14" t="s">
        <v>78</v>
      </c>
      <c r="M19" s="15">
        <v>45827</v>
      </c>
      <c r="N19" s="16">
        <v>0.5</v>
      </c>
      <c r="O19" s="14" t="s">
        <v>96</v>
      </c>
      <c r="P19" s="9">
        <v>1512</v>
      </c>
      <c r="Q19" s="18">
        <f t="shared" si="5"/>
        <v>3.0185185185185186</v>
      </c>
      <c r="R19" s="8">
        <v>4564</v>
      </c>
      <c r="S19" s="26" t="s">
        <v>97</v>
      </c>
      <c r="T19" s="13" t="s">
        <v>50</v>
      </c>
      <c r="U19" s="13" t="s">
        <v>51</v>
      </c>
      <c r="V19" s="13" t="s">
        <v>52</v>
      </c>
      <c r="W19" s="24" t="s">
        <v>53</v>
      </c>
      <c r="X19" s="8"/>
      <c r="Y19" s="8"/>
      <c r="Z19" s="8"/>
      <c r="AA19" s="8" t="s">
        <v>54</v>
      </c>
      <c r="AB19" s="8" t="s">
        <v>55</v>
      </c>
      <c r="AC19" s="8" t="s">
        <v>56</v>
      </c>
      <c r="AD19" s="22">
        <f t="shared" si="0"/>
        <v>1.5092592592592593</v>
      </c>
      <c r="AE19" s="8">
        <v>1</v>
      </c>
      <c r="AF19" s="22">
        <f t="shared" si="1"/>
        <v>1.5092592592592593</v>
      </c>
      <c r="AG19" s="22">
        <f t="shared" si="2"/>
        <v>2282</v>
      </c>
    </row>
    <row r="20" spans="1:33" x14ac:dyDescent="0.25">
      <c r="A20" s="7" t="str">
        <f t="shared" si="3"/>
        <v>Production</v>
      </c>
      <c r="B20" s="7" t="str">
        <f t="shared" si="4"/>
        <v>Production</v>
      </c>
      <c r="C20" s="8" t="s">
        <v>40</v>
      </c>
      <c r="D20" s="8" t="s">
        <v>41</v>
      </c>
      <c r="E20" s="9">
        <v>3381</v>
      </c>
      <c r="F20" s="9">
        <v>3381</v>
      </c>
      <c r="G20" s="10" t="s">
        <v>42</v>
      </c>
      <c r="H20" s="11">
        <v>45717</v>
      </c>
      <c r="I20" s="12" t="s">
        <v>43</v>
      </c>
      <c r="J20" s="13" t="s">
        <v>72</v>
      </c>
      <c r="K20" s="14" t="s">
        <v>95</v>
      </c>
      <c r="L20" s="14" t="s">
        <v>74</v>
      </c>
      <c r="M20" s="15">
        <v>45827</v>
      </c>
      <c r="N20" s="16">
        <v>0.5</v>
      </c>
      <c r="O20" s="14" t="s">
        <v>98</v>
      </c>
      <c r="P20" s="9">
        <v>3381</v>
      </c>
      <c r="Q20" s="18">
        <f t="shared" si="5"/>
        <v>3.4217687074829932</v>
      </c>
      <c r="R20" s="8">
        <v>11569</v>
      </c>
      <c r="S20" s="26" t="s">
        <v>97</v>
      </c>
      <c r="T20" s="13" t="s">
        <v>50</v>
      </c>
      <c r="U20" s="13" t="s">
        <v>59</v>
      </c>
      <c r="V20" s="13" t="s">
        <v>52</v>
      </c>
      <c r="W20" s="24" t="s">
        <v>60</v>
      </c>
      <c r="X20" s="8"/>
      <c r="Y20" s="8"/>
      <c r="Z20" s="8"/>
      <c r="AA20" s="8" t="s">
        <v>54</v>
      </c>
      <c r="AB20" s="8" t="s">
        <v>55</v>
      </c>
      <c r="AC20" s="8" t="s">
        <v>56</v>
      </c>
      <c r="AD20" s="22">
        <f t="shared" si="0"/>
        <v>1.7108843537414966</v>
      </c>
      <c r="AE20" s="8">
        <v>1</v>
      </c>
      <c r="AF20" s="22">
        <f t="shared" si="1"/>
        <v>1.7108843537414966</v>
      </c>
      <c r="AG20" s="22">
        <f t="shared" si="2"/>
        <v>5784.5</v>
      </c>
    </row>
    <row r="21" spans="1:33" x14ac:dyDescent="0.25">
      <c r="A21" s="7" t="str">
        <f t="shared" si="3"/>
        <v>Production</v>
      </c>
      <c r="B21" s="7" t="str">
        <f t="shared" si="4"/>
        <v>Production</v>
      </c>
      <c r="C21" s="8" t="s">
        <v>40</v>
      </c>
      <c r="D21" s="8" t="s">
        <v>41</v>
      </c>
      <c r="E21" s="9">
        <v>3381</v>
      </c>
      <c r="F21" s="9">
        <v>3381</v>
      </c>
      <c r="G21" s="10" t="s">
        <v>42</v>
      </c>
      <c r="H21" s="11">
        <v>45717</v>
      </c>
      <c r="I21" s="12" t="s">
        <v>43</v>
      </c>
      <c r="J21" s="13" t="s">
        <v>72</v>
      </c>
      <c r="K21" s="14" t="s">
        <v>99</v>
      </c>
      <c r="L21" s="14" t="s">
        <v>78</v>
      </c>
      <c r="M21" s="15">
        <v>45823</v>
      </c>
      <c r="N21" s="16">
        <v>0.5</v>
      </c>
      <c r="O21" s="14" t="s">
        <v>100</v>
      </c>
      <c r="P21" s="9">
        <v>3381</v>
      </c>
      <c r="Q21" s="18">
        <f t="shared" si="5"/>
        <v>3.4324164448388053</v>
      </c>
      <c r="R21" s="8">
        <v>11605</v>
      </c>
      <c r="S21" s="26">
        <v>45997</v>
      </c>
      <c r="T21" s="13" t="s">
        <v>50</v>
      </c>
      <c r="U21" s="13" t="s">
        <v>59</v>
      </c>
      <c r="V21" s="13" t="s">
        <v>52</v>
      </c>
      <c r="W21" s="24" t="s">
        <v>60</v>
      </c>
      <c r="X21" s="8"/>
      <c r="Y21" s="8"/>
      <c r="Z21" s="8"/>
      <c r="AA21" s="8" t="s">
        <v>54</v>
      </c>
      <c r="AB21" s="8" t="s">
        <v>55</v>
      </c>
      <c r="AC21" s="8" t="s">
        <v>56</v>
      </c>
      <c r="AD21" s="22">
        <f t="shared" si="0"/>
        <v>1.7162082224194026</v>
      </c>
      <c r="AE21" s="8">
        <v>1</v>
      </c>
      <c r="AF21" s="22">
        <f t="shared" si="1"/>
        <v>1.7162082224194026</v>
      </c>
      <c r="AG21" s="22">
        <f t="shared" si="2"/>
        <v>5802.5</v>
      </c>
    </row>
    <row r="22" spans="1:33" x14ac:dyDescent="0.25">
      <c r="A22" s="7" t="str">
        <f t="shared" si="3"/>
        <v>Production</v>
      </c>
      <c r="B22" s="7" t="str">
        <f t="shared" si="4"/>
        <v>Production</v>
      </c>
      <c r="C22" s="8" t="s">
        <v>40</v>
      </c>
      <c r="D22" s="8" t="s">
        <v>41</v>
      </c>
      <c r="E22" s="9">
        <v>1715</v>
      </c>
      <c r="F22" s="9">
        <v>1715</v>
      </c>
      <c r="G22" s="10" t="s">
        <v>42</v>
      </c>
      <c r="H22" s="11">
        <v>45717</v>
      </c>
      <c r="I22" s="12" t="s">
        <v>43</v>
      </c>
      <c r="J22" s="13" t="s">
        <v>72</v>
      </c>
      <c r="K22" s="14" t="s">
        <v>101</v>
      </c>
      <c r="L22" s="14" t="s">
        <v>78</v>
      </c>
      <c r="M22" s="15">
        <v>45862</v>
      </c>
      <c r="N22" s="16">
        <v>0.5</v>
      </c>
      <c r="O22" s="14" t="s">
        <v>102</v>
      </c>
      <c r="P22" s="9">
        <v>1715</v>
      </c>
      <c r="Q22" s="18">
        <f t="shared" si="5"/>
        <v>3.4944606413994168</v>
      </c>
      <c r="R22" s="8">
        <v>5993</v>
      </c>
      <c r="S22" s="26" t="s">
        <v>103</v>
      </c>
      <c r="T22" s="13" t="s">
        <v>50</v>
      </c>
      <c r="U22" s="13" t="s">
        <v>59</v>
      </c>
      <c r="V22" s="13" t="s">
        <v>52</v>
      </c>
      <c r="W22" s="24" t="s">
        <v>60</v>
      </c>
      <c r="X22" s="8"/>
      <c r="Y22" s="8"/>
      <c r="Z22" s="8"/>
      <c r="AA22" s="8" t="s">
        <v>54</v>
      </c>
      <c r="AB22" s="8" t="s">
        <v>55</v>
      </c>
      <c r="AC22" s="8" t="s">
        <v>56</v>
      </c>
      <c r="AD22" s="22">
        <f t="shared" si="0"/>
        <v>1.7472303206997084</v>
      </c>
      <c r="AE22" s="8">
        <v>1</v>
      </c>
      <c r="AF22" s="22">
        <f t="shared" si="1"/>
        <v>1.7472303206997084</v>
      </c>
      <c r="AG22" s="22">
        <f t="shared" si="2"/>
        <v>2996.5</v>
      </c>
    </row>
    <row r="23" spans="1:33" x14ac:dyDescent="0.25">
      <c r="A23" s="7" t="str">
        <f t="shared" si="3"/>
        <v>Production</v>
      </c>
      <c r="B23" s="7" t="str">
        <f t="shared" si="4"/>
        <v>Production</v>
      </c>
      <c r="C23" s="8" t="s">
        <v>40</v>
      </c>
      <c r="D23" s="8" t="s">
        <v>41</v>
      </c>
      <c r="E23" s="9">
        <v>2464</v>
      </c>
      <c r="F23" s="9">
        <v>2464</v>
      </c>
      <c r="G23" s="10" t="s">
        <v>42</v>
      </c>
      <c r="H23" s="11">
        <v>45717</v>
      </c>
      <c r="I23" s="12" t="s">
        <v>43</v>
      </c>
      <c r="J23" s="13" t="s">
        <v>72</v>
      </c>
      <c r="K23" s="14" t="s">
        <v>101</v>
      </c>
      <c r="L23" s="14" t="s">
        <v>78</v>
      </c>
      <c r="M23" s="15">
        <v>45862</v>
      </c>
      <c r="N23" s="16">
        <v>0.5</v>
      </c>
      <c r="O23" s="14" t="s">
        <v>104</v>
      </c>
      <c r="P23" s="9">
        <v>2464</v>
      </c>
      <c r="Q23" s="18">
        <f t="shared" si="5"/>
        <v>3.0823863636363638</v>
      </c>
      <c r="R23" s="8">
        <v>7595</v>
      </c>
      <c r="S23" s="26" t="s">
        <v>103</v>
      </c>
      <c r="T23" s="13" t="s">
        <v>50</v>
      </c>
      <c r="U23" s="13" t="s">
        <v>51</v>
      </c>
      <c r="V23" s="13" t="s">
        <v>52</v>
      </c>
      <c r="W23" s="24" t="s">
        <v>53</v>
      </c>
      <c r="X23" s="8"/>
      <c r="Y23" s="8"/>
      <c r="Z23" s="8"/>
      <c r="AA23" s="8" t="s">
        <v>54</v>
      </c>
      <c r="AB23" s="8" t="s">
        <v>55</v>
      </c>
      <c r="AC23" s="8" t="s">
        <v>56</v>
      </c>
      <c r="AD23" s="22">
        <f t="shared" si="0"/>
        <v>1.5411931818181819</v>
      </c>
      <c r="AE23" s="8">
        <v>1</v>
      </c>
      <c r="AF23" s="22">
        <f t="shared" si="1"/>
        <v>1.5411931818181819</v>
      </c>
      <c r="AG23" s="22">
        <f t="shared" si="2"/>
        <v>3797.5</v>
      </c>
    </row>
    <row r="24" spans="1:33" x14ac:dyDescent="0.25">
      <c r="A24" s="7" t="str">
        <f t="shared" si="3"/>
        <v>Production</v>
      </c>
      <c r="B24" s="7" t="str">
        <f t="shared" si="4"/>
        <v>Production</v>
      </c>
      <c r="C24" s="8" t="s">
        <v>40</v>
      </c>
      <c r="D24" s="8" t="s">
        <v>41</v>
      </c>
      <c r="E24" s="9">
        <v>1008</v>
      </c>
      <c r="F24" s="9">
        <v>1008</v>
      </c>
      <c r="G24" s="10" t="s">
        <v>42</v>
      </c>
      <c r="H24" s="11">
        <v>45717</v>
      </c>
      <c r="I24" s="12" t="s">
        <v>43</v>
      </c>
      <c r="J24" s="13" t="s">
        <v>72</v>
      </c>
      <c r="K24" s="14" t="s">
        <v>105</v>
      </c>
      <c r="L24" s="14" t="s">
        <v>78</v>
      </c>
      <c r="M24" s="15">
        <v>45869</v>
      </c>
      <c r="N24" s="16">
        <v>0.5</v>
      </c>
      <c r="O24" s="14" t="s">
        <v>106</v>
      </c>
      <c r="P24" s="9">
        <v>1008</v>
      </c>
      <c r="Q24" s="18">
        <f t="shared" si="5"/>
        <v>2.9950396825396823</v>
      </c>
      <c r="R24" s="8">
        <v>3019</v>
      </c>
      <c r="S24" s="26" t="s">
        <v>69</v>
      </c>
      <c r="T24" s="13" t="s">
        <v>50</v>
      </c>
      <c r="U24" s="13" t="s">
        <v>51</v>
      </c>
      <c r="V24" s="13" t="s">
        <v>52</v>
      </c>
      <c r="W24" s="24" t="s">
        <v>53</v>
      </c>
      <c r="X24" s="8"/>
      <c r="Y24" s="8"/>
      <c r="Z24" s="8"/>
      <c r="AA24" s="8" t="s">
        <v>54</v>
      </c>
      <c r="AB24" s="8" t="s">
        <v>55</v>
      </c>
      <c r="AC24" s="8" t="s">
        <v>56</v>
      </c>
      <c r="AD24" s="22">
        <f t="shared" si="0"/>
        <v>1.4975198412698412</v>
      </c>
      <c r="AE24" s="8">
        <v>1</v>
      </c>
      <c r="AF24" s="22">
        <f t="shared" si="1"/>
        <v>1.4975198412698412</v>
      </c>
      <c r="AG24" s="22">
        <f t="shared" si="2"/>
        <v>1509.5</v>
      </c>
    </row>
    <row r="25" spans="1:33" x14ac:dyDescent="0.25">
      <c r="A25" s="7" t="str">
        <f t="shared" si="3"/>
        <v>Production</v>
      </c>
      <c r="B25" s="7" t="str">
        <f t="shared" si="4"/>
        <v>Production</v>
      </c>
      <c r="C25" s="8" t="s">
        <v>40</v>
      </c>
      <c r="D25" s="8" t="s">
        <v>41</v>
      </c>
      <c r="E25" s="9">
        <v>1715</v>
      </c>
      <c r="F25" s="9">
        <v>1715</v>
      </c>
      <c r="G25" s="10" t="s">
        <v>42</v>
      </c>
      <c r="H25" s="11">
        <v>45717</v>
      </c>
      <c r="I25" s="12" t="s">
        <v>43</v>
      </c>
      <c r="J25" s="13" t="s">
        <v>72</v>
      </c>
      <c r="K25" s="14" t="s">
        <v>105</v>
      </c>
      <c r="L25" s="14" t="s">
        <v>78</v>
      </c>
      <c r="M25" s="15">
        <v>45869</v>
      </c>
      <c r="N25" s="16">
        <v>0.5</v>
      </c>
      <c r="O25" s="14" t="s">
        <v>107</v>
      </c>
      <c r="P25" s="9">
        <v>1715</v>
      </c>
      <c r="Q25" s="18">
        <f t="shared" si="5"/>
        <v>3.3947521865889212</v>
      </c>
      <c r="R25" s="8">
        <v>5822</v>
      </c>
      <c r="S25" s="26" t="s">
        <v>69</v>
      </c>
      <c r="T25" s="13" t="s">
        <v>50</v>
      </c>
      <c r="U25" s="13" t="s">
        <v>59</v>
      </c>
      <c r="V25" s="13" t="s">
        <v>52</v>
      </c>
      <c r="W25" s="24" t="s">
        <v>60</v>
      </c>
      <c r="X25" s="8"/>
      <c r="Y25" s="8"/>
      <c r="Z25" s="8"/>
      <c r="AA25" s="8" t="s">
        <v>54</v>
      </c>
      <c r="AB25" s="8" t="s">
        <v>55</v>
      </c>
      <c r="AC25" s="8" t="s">
        <v>56</v>
      </c>
      <c r="AD25" s="22">
        <f t="shared" si="0"/>
        <v>1.6973760932944606</v>
      </c>
      <c r="AE25" s="8">
        <v>1</v>
      </c>
      <c r="AF25" s="22">
        <f t="shared" si="1"/>
        <v>1.6973760932944606</v>
      </c>
      <c r="AG25" s="22">
        <f t="shared" si="2"/>
        <v>2911</v>
      </c>
    </row>
    <row r="26" spans="1:33" x14ac:dyDescent="0.25">
      <c r="A26" s="7" t="str">
        <f t="shared" si="3"/>
        <v>Production</v>
      </c>
      <c r="B26" s="7" t="str">
        <f t="shared" si="4"/>
        <v>Production</v>
      </c>
      <c r="C26" s="8" t="s">
        <v>40</v>
      </c>
      <c r="D26" s="8" t="s">
        <v>41</v>
      </c>
      <c r="E26" s="9">
        <v>2800</v>
      </c>
      <c r="F26" s="9">
        <v>2800</v>
      </c>
      <c r="G26" s="10" t="s">
        <v>42</v>
      </c>
      <c r="H26" s="11">
        <v>45717</v>
      </c>
      <c r="I26" s="12" t="s">
        <v>43</v>
      </c>
      <c r="J26" s="13" t="s">
        <v>72</v>
      </c>
      <c r="K26" s="14" t="s">
        <v>108</v>
      </c>
      <c r="L26" s="14" t="s">
        <v>78</v>
      </c>
      <c r="M26" s="15">
        <v>45856</v>
      </c>
      <c r="N26" s="16">
        <v>0.5</v>
      </c>
      <c r="O26" s="14" t="s">
        <v>109</v>
      </c>
      <c r="P26" s="9">
        <v>2800</v>
      </c>
      <c r="Q26" s="18">
        <f t="shared" si="5"/>
        <v>3.0385714285714287</v>
      </c>
      <c r="R26" s="8">
        <v>8508</v>
      </c>
      <c r="S26" s="26" t="s">
        <v>110</v>
      </c>
      <c r="T26" s="13" t="s">
        <v>50</v>
      </c>
      <c r="U26" s="13" t="s">
        <v>51</v>
      </c>
      <c r="V26" s="13" t="s">
        <v>52</v>
      </c>
      <c r="W26" s="24" t="s">
        <v>53</v>
      </c>
      <c r="X26" s="8"/>
      <c r="Y26" s="8"/>
      <c r="Z26" s="8"/>
      <c r="AA26" s="8" t="s">
        <v>54</v>
      </c>
      <c r="AB26" s="8" t="s">
        <v>55</v>
      </c>
      <c r="AC26" s="8" t="s">
        <v>56</v>
      </c>
      <c r="AD26" s="22">
        <f t="shared" si="0"/>
        <v>1.5192857142857144</v>
      </c>
      <c r="AE26" s="8">
        <v>1</v>
      </c>
      <c r="AF26" s="22">
        <f t="shared" si="1"/>
        <v>1.5192857142857144</v>
      </c>
      <c r="AG26" s="22">
        <f t="shared" si="2"/>
        <v>4254</v>
      </c>
    </row>
    <row r="27" spans="1:33" x14ac:dyDescent="0.25">
      <c r="A27" s="7" t="str">
        <f t="shared" si="3"/>
        <v>Production</v>
      </c>
      <c r="B27" s="7" t="str">
        <f t="shared" si="4"/>
        <v>Production</v>
      </c>
      <c r="C27" s="8" t="s">
        <v>40</v>
      </c>
      <c r="D27" s="8" t="s">
        <v>41</v>
      </c>
      <c r="E27" s="9">
        <v>3381</v>
      </c>
      <c r="F27" s="9">
        <v>3381</v>
      </c>
      <c r="G27" s="10" t="s">
        <v>42</v>
      </c>
      <c r="H27" s="11">
        <v>45717</v>
      </c>
      <c r="I27" s="12" t="s">
        <v>43</v>
      </c>
      <c r="J27" s="13" t="s">
        <v>44</v>
      </c>
      <c r="K27" s="14" t="s">
        <v>111</v>
      </c>
      <c r="L27" s="14" t="s">
        <v>46</v>
      </c>
      <c r="M27" s="15">
        <v>45887</v>
      </c>
      <c r="N27" s="16">
        <v>0.5</v>
      </c>
      <c r="O27" s="14" t="s">
        <v>112</v>
      </c>
      <c r="P27" s="9">
        <v>3381</v>
      </c>
      <c r="Q27" s="18">
        <f t="shared" si="5"/>
        <v>1.5099083111505471</v>
      </c>
      <c r="R27" s="8">
        <v>5105</v>
      </c>
      <c r="S27" s="26" t="s">
        <v>113</v>
      </c>
      <c r="T27" s="13" t="s">
        <v>50</v>
      </c>
      <c r="U27" s="13" t="s">
        <v>59</v>
      </c>
      <c r="V27" s="13" t="s">
        <v>52</v>
      </c>
      <c r="W27" s="24" t="s">
        <v>60</v>
      </c>
      <c r="X27" s="8"/>
      <c r="Y27" s="8"/>
      <c r="Z27" s="8"/>
      <c r="AA27" s="8" t="s">
        <v>54</v>
      </c>
      <c r="AB27" s="8" t="s">
        <v>55</v>
      </c>
      <c r="AC27" s="8" t="s">
        <v>56</v>
      </c>
      <c r="AD27" s="22">
        <f t="shared" si="0"/>
        <v>0.75495415557527357</v>
      </c>
      <c r="AE27" s="8">
        <v>1</v>
      </c>
      <c r="AF27" s="22">
        <f t="shared" si="1"/>
        <v>0.75495415557527357</v>
      </c>
      <c r="AG27" s="22">
        <f t="shared" si="2"/>
        <v>2552.5</v>
      </c>
    </row>
    <row r="28" spans="1:33" x14ac:dyDescent="0.25">
      <c r="A28" s="7" t="str">
        <f t="shared" si="3"/>
        <v>Production</v>
      </c>
      <c r="B28" s="7" t="str">
        <f t="shared" si="4"/>
        <v>Production</v>
      </c>
      <c r="C28" s="8" t="s">
        <v>40</v>
      </c>
      <c r="D28" s="8" t="s">
        <v>41</v>
      </c>
      <c r="E28" s="9">
        <v>2408</v>
      </c>
      <c r="F28" s="9">
        <v>2408</v>
      </c>
      <c r="G28" s="10" t="s">
        <v>42</v>
      </c>
      <c r="H28" s="11">
        <v>45717</v>
      </c>
      <c r="I28" s="12" t="s">
        <v>43</v>
      </c>
      <c r="J28" s="13" t="s">
        <v>72</v>
      </c>
      <c r="K28" s="14" t="s">
        <v>114</v>
      </c>
      <c r="L28" s="14" t="s">
        <v>78</v>
      </c>
      <c r="M28" s="15">
        <v>45872</v>
      </c>
      <c r="N28" s="16">
        <v>0.5</v>
      </c>
      <c r="O28" s="14" t="s">
        <v>115</v>
      </c>
      <c r="P28" s="9">
        <v>2408</v>
      </c>
      <c r="Q28" s="18">
        <f t="shared" si="5"/>
        <v>3.0274086378737541</v>
      </c>
      <c r="R28" s="8">
        <v>7290</v>
      </c>
      <c r="S28" s="26" t="s">
        <v>116</v>
      </c>
      <c r="T28" s="13" t="s">
        <v>50</v>
      </c>
      <c r="U28" s="13" t="s">
        <v>51</v>
      </c>
      <c r="V28" s="13" t="s">
        <v>52</v>
      </c>
      <c r="W28" s="24" t="s">
        <v>53</v>
      </c>
      <c r="X28" s="8"/>
      <c r="Y28" s="8"/>
      <c r="Z28" s="8"/>
      <c r="AA28" s="8" t="s">
        <v>54</v>
      </c>
      <c r="AB28" s="8" t="s">
        <v>55</v>
      </c>
      <c r="AC28" s="8" t="s">
        <v>56</v>
      </c>
      <c r="AD28" s="22">
        <f t="shared" si="0"/>
        <v>1.5137043189368771</v>
      </c>
      <c r="AE28" s="8">
        <v>1</v>
      </c>
      <c r="AF28" s="22">
        <f t="shared" si="1"/>
        <v>1.5137043189368771</v>
      </c>
      <c r="AG28" s="22">
        <f t="shared" si="2"/>
        <v>3645</v>
      </c>
    </row>
    <row r="29" spans="1:33" x14ac:dyDescent="0.25">
      <c r="A29" s="7" t="str">
        <f t="shared" si="3"/>
        <v>Production</v>
      </c>
      <c r="B29" s="7" t="str">
        <f t="shared" si="4"/>
        <v>Production</v>
      </c>
      <c r="C29" s="8" t="s">
        <v>40</v>
      </c>
      <c r="D29" s="8" t="s">
        <v>41</v>
      </c>
      <c r="E29" s="9">
        <v>1715</v>
      </c>
      <c r="F29" s="9">
        <v>1715</v>
      </c>
      <c r="G29" s="10" t="s">
        <v>42</v>
      </c>
      <c r="H29" s="11">
        <v>45717</v>
      </c>
      <c r="I29" s="12" t="s">
        <v>43</v>
      </c>
      <c r="J29" s="13" t="s">
        <v>72</v>
      </c>
      <c r="K29" s="14" t="s">
        <v>114</v>
      </c>
      <c r="L29" s="14" t="s">
        <v>78</v>
      </c>
      <c r="M29" s="15">
        <v>45872</v>
      </c>
      <c r="N29" s="16">
        <v>0.5</v>
      </c>
      <c r="O29" s="14" t="s">
        <v>117</v>
      </c>
      <c r="P29" s="9">
        <v>1715</v>
      </c>
      <c r="Q29" s="18">
        <f t="shared" si="5"/>
        <v>3.4320699708454812</v>
      </c>
      <c r="R29" s="8">
        <v>5886</v>
      </c>
      <c r="S29" s="26">
        <v>45665</v>
      </c>
      <c r="T29" s="13" t="s">
        <v>50</v>
      </c>
      <c r="U29" s="13" t="s">
        <v>59</v>
      </c>
      <c r="V29" s="13" t="s">
        <v>52</v>
      </c>
      <c r="W29" s="24" t="s">
        <v>60</v>
      </c>
      <c r="X29" s="8"/>
      <c r="Y29" s="8"/>
      <c r="Z29" s="8"/>
      <c r="AA29" s="8" t="s">
        <v>54</v>
      </c>
      <c r="AB29" s="8" t="s">
        <v>55</v>
      </c>
      <c r="AC29" s="8" t="s">
        <v>56</v>
      </c>
      <c r="AD29" s="22">
        <f t="shared" si="0"/>
        <v>1.7160349854227406</v>
      </c>
      <c r="AE29" s="8">
        <v>1</v>
      </c>
      <c r="AF29" s="22">
        <f t="shared" si="1"/>
        <v>1.7160349854227406</v>
      </c>
      <c r="AG29" s="22">
        <f t="shared" si="2"/>
        <v>2943</v>
      </c>
    </row>
  </sheetData>
  <mergeCells count="8">
    <mergeCell ref="A1:AC1"/>
    <mergeCell ref="AD1:AG1"/>
    <mergeCell ref="A2:D2"/>
    <mergeCell ref="E2:F2"/>
    <mergeCell ref="G2:I2"/>
    <mergeCell ref="J2:R2"/>
    <mergeCell ref="S2:AC2"/>
    <mergeCell ref="AD2:AG2"/>
  </mergeCells>
  <dataValidations count="1">
    <dataValidation type="list" allowBlank="1" showInputMessage="1" showErrorMessage="1" sqref="D4:D29" xr:uid="{A133AABF-5DA2-4B19-A094-0D9968CF6894}">
      <formula1>"FCSD,Production"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CATENSYS Germany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Hümmer</dc:creator>
  <cp:lastModifiedBy>Kamal Hümmer</cp:lastModifiedBy>
  <dcterms:created xsi:type="dcterms:W3CDTF">2026-06-08T12:06:19Z</dcterms:created>
  <dcterms:modified xsi:type="dcterms:W3CDTF">2026-06-08T12:07:04Z</dcterms:modified>
</cp:coreProperties>
</file>